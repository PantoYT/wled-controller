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 cost" sheetId="1" state="visible" r:id="rId1"/>
    <sheet xmlns:r="http://schemas.openxmlformats.org/officeDocument/2006/relationships" name="v2 phi 6ch" sheetId="2" state="visible" r:id="rId2"/>
    <sheet xmlns:r="http://schemas.openxmlformats.org/officeDocument/2006/relationships" name="leftovers" sheetId="3" state="visible" r:id="rId3"/>
    <sheet xmlns:r="http://schemas.openxmlformats.org/officeDocument/2006/relationships" name="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1F2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/>
    </xf>
    <xf numFmtId="0" fontId="2" fillId="0" borderId="0" applyAlignment="1" pivotButton="0" quotePrefix="0" xfId="1">
      <alignment vertical="top"/>
    </xf>
    <xf numFmtId="0" fontId="3" fillId="0" borderId="0" pivotButton="0" quotePrefix="0" xfId="0"/>
    <xf numFmtId="2" fontId="3" fillId="0" borderId="0" pivotButton="0" quotePrefix="0" xfId="0"/>
    <xf numFmtId="2" fontId="0" fillId="0" borderId="0" pivotButton="0" quotePrefix="0" xfId="0"/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lcpcb.com/" TargetMode="External" Id="rId1"/><Relationship Type="http://schemas.openxmlformats.org/officeDocument/2006/relationships/hyperlink" Target="https://allegro.pl/oferta/mikrokontroler-esp-wroom-32-esp32-usb-c-ch340-wifi-bt-esp-32-4mb-do-arduino-12575360436" TargetMode="External" Id="rId2"/><Relationship Type="http://schemas.openxmlformats.org/officeDocument/2006/relationships/hyperlink" Target="https://allegro.pl/oferta/1m-tasma-ws2812b-argb-5v-30-diod-m-ip30-smart-magic-led-czarne-pcb-18922593462" TargetMode="External" Id="rId3"/><Relationship Type="http://schemas.openxmlformats.org/officeDocument/2006/relationships/hyperlink" Target="https://allegro.pl/oferta/konektory-para-gniazdo-wtyk-jst-sm-3-pin-do-tasm-ws2812b-ws2811-rgb-17680312115" TargetMode="External" Id="rId4"/><Relationship Type="http://schemas.openxmlformats.org/officeDocument/2006/relationships/hyperlink" Target="https://www.tme.eu/pl/katalog/?search=CD74HCT125E" TargetMode="External" Id="rId5"/><Relationship Type="http://schemas.openxmlformats.org/officeDocument/2006/relationships/hyperlink" Target="https://www.tme.eu/pl/katalog/?search=1-2199298-3" TargetMode="External" Id="rId6"/><Relationship Type="http://schemas.openxmlformats.org/officeDocument/2006/relationships/hyperlink" Target="https://www.tme.eu/pl/katalog/?search=ZL262-40SG" TargetMode="External" Id="rId7"/><Relationship Type="http://schemas.openxmlformats.org/officeDocument/2006/relationships/hyperlink" Target="https://www.tme.eu/pl/katalog/?search=CC-104%2F100" TargetMode="External" Id="rId8"/><Relationship Type="http://schemas.openxmlformats.org/officeDocument/2006/relationships/hyperlink" Target="https://www.tme.eu/pl/katalog/?search=CF1%2F4W-100R" TargetMode="External" Id="rId9"/><Relationship Type="http://schemas.openxmlformats.org/officeDocument/2006/relationships/hyperlink" Target="https://www.tme.eu/pl/katalog/?search=KEYS3568" TargetMode="External" Id="rId10"/><Relationship Type="http://schemas.openxmlformats.org/officeDocument/2006/relationships/hyperlink" Target="https://www.tme.eu/pl/katalog/?search=0297003.WXNV" TargetMode="External" Id="rId11"/><Relationship Type="http://schemas.openxmlformats.org/officeDocument/2006/relationships/hyperlink" Target="https://www.tme.eu/pl/katalog/?search=PC-GK2.1" TargetMode="External" Id="rId12"/><Relationship Type="http://schemas.openxmlformats.org/officeDocument/2006/relationships/hyperlink" Target="https://www.tme.eu/pl/katalog/?search=TB-5.08-P-3P%2FBL" TargetMode="External" Id="rId13"/><Relationship Type="http://schemas.openxmlformats.org/officeDocument/2006/relationships/hyperlink" Target="https://www.tme.eu/pl/katalog/?search=TB-5.08-P-2P%2FBL" TargetMode="External" Id="rId14"/><Relationship Type="http://schemas.openxmlformats.org/officeDocument/2006/relationships/hyperlink" Target="https://www.tme.eu/pl/katalog/?search=ZL201-40G" TargetMode="External" Id="rId15"/><Relationship Type="http://schemas.openxmlformats.org/officeDocument/2006/relationships/hyperlink" Target="https://www.tme.eu/pl/katalog/?search=EEUFR1C102L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https://jlcpcb.com/" TargetMode="External" Id="rId1"/><Relationship Type="http://schemas.openxmlformats.org/officeDocument/2006/relationships/hyperlink" Target="https://allegro.pl/oferta/mikrokontroler-esp-wroom-32-esp32-usb-c-ch340-wifi-bt-esp-32-4mb-do-arduino-12575360436" TargetMode="External" Id="rId2"/><Relationship Type="http://schemas.openxmlformats.org/officeDocument/2006/relationships/hyperlink" Target="https://www.tme.eu/pl/katalog/?search=SN74HCT245N" TargetMode="External" Id="rId3"/><Relationship Type="http://schemas.openxmlformats.org/officeDocument/2006/relationships/hyperlink" Target="https://www.tme.eu/pl/katalog/?search=1-2199298-6" TargetMode="External" Id="rId4"/><Relationship Type="http://schemas.openxmlformats.org/officeDocument/2006/relationships/hyperlink" Target="https://www.tme.eu/pl/katalog/?search=KEYS3568" TargetMode="External" Id="rId5"/><Relationship Type="http://schemas.openxmlformats.org/officeDocument/2006/relationships/hyperlink" Target="https://www.tme.eu/pl/katalog/?search=029707.5WXNV" TargetMode="External" Id="rId6"/><Relationship Type="http://schemas.openxmlformats.org/officeDocument/2006/relationships/hyperlink" Target="https://www.tme.eu/pl/katalog/?search=RG300-16" TargetMode="External" Id="rId7"/><Relationship Type="http://schemas.openxmlformats.org/officeDocument/2006/relationships/hyperlink" Target="https://www.tme.eu/pl/katalog/?search=XY302R-3P-3.5-GN" TargetMode="External" Id="rId8"/><Relationship Type="http://schemas.openxmlformats.org/officeDocument/2006/relationships/hyperlink" Target="https://www.tme.eu/pl/katalog/?search=B3B-XH-A" TargetMode="External" Id="rId9"/><Relationship Type="http://schemas.openxmlformats.org/officeDocument/2006/relationships/hyperlink" Target="https://www.tme.eu/pl/katalog/?search=CF1%2F4W-100R" TargetMode="External" Id="rId10"/><Relationship Type="http://schemas.openxmlformats.org/officeDocument/2006/relationships/hyperlink" Target="https://www.tme.eu/pl/katalog/?search=EEUFR1C102L" TargetMode="External" Id="rId11"/><Relationship Type="http://schemas.openxmlformats.org/officeDocument/2006/relationships/hyperlink" Target="https://www.tme.eu/pl/katalog/?search=CC-104%2F100" TargetMode="External" Id="rId12"/><Relationship Type="http://schemas.openxmlformats.org/officeDocument/2006/relationships/hyperlink" Target="https://www.tme.eu/pl/katalog/?search=PC-GK2.1" TargetMode="External" Id="rId13"/><Relationship Type="http://schemas.openxmlformats.org/officeDocument/2006/relationships/hyperlink" Target="https://www.tme.eu/pl/katalog/?search=TB-5.08-P-2P%2FBL" TargetMode="External" Id="rId14"/><Relationship Type="http://schemas.openxmlformats.org/officeDocument/2006/relationships/hyperlink" Target="https://www.tme.eu/pl/katalog/?search=ZL262-40SG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jlcpcb.com/" TargetMode="External" Id="rId1"/><Relationship Type="http://schemas.openxmlformats.org/officeDocument/2006/relationships/hyperlink" Target="https://www.tme.eu/pl/ (koszyk -&gt; szybkie zakupy / import listy)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6" customWidth="1" min="4" max="4"/>
    <col width="10" customWidth="1" min="5" max="5"/>
    <col width="10" customWidth="1" min="6" max="6"/>
    <col width="60" customWidth="1" min="7" max="7"/>
    <col width="40" customWidth="1" min="8" max="8"/>
  </cols>
  <sheetData>
    <row r="1">
      <c r="A1" s="1" t="inlineStr">
        <is>
          <t>Source</t>
        </is>
      </c>
      <c r="B1" s="1" t="inlineStr">
        <is>
          <t>Item</t>
        </is>
      </c>
      <c r="C1" s="1" t="inlineStr">
        <is>
          <t>Symbol</t>
        </is>
      </c>
      <c r="D1" s="1" t="inlineStr">
        <is>
          <t>Qty</t>
        </is>
      </c>
      <c r="E1" s="1" t="inlineStr">
        <is>
          <t>Unit PLN</t>
        </is>
      </c>
      <c r="F1" s="1" t="inlineStr">
        <is>
          <t>Line PLN</t>
        </is>
      </c>
      <c r="G1" s="1" t="inlineStr">
        <is>
          <t>Link</t>
        </is>
      </c>
      <c r="H1" s="1" t="inlineStr">
        <is>
          <t>Note</t>
        </is>
      </c>
    </row>
    <row r="2">
      <c r="A2" s="2" t="inlineStr">
        <is>
          <t>JLCPCB</t>
        </is>
      </c>
      <c r="B2" s="3" t="inlineStr">
        <is>
          <t>PCB rev 1.0, 2 layers, 5 pcs, shipping included</t>
        </is>
      </c>
      <c r="C2" s="2" t="inlineStr"/>
      <c r="D2" s="2" t="n">
        <v>5</v>
      </c>
      <c r="E2" s="4" t="n"/>
      <c r="F2" s="4" t="n">
        <v>30</v>
      </c>
      <c r="G2" s="5" t="inlineStr">
        <is>
          <t>https://jlcpcb.com/</t>
        </is>
      </c>
      <c r="H2" s="2" t="inlineStr">
        <is>
          <t>paid</t>
        </is>
      </c>
    </row>
    <row r="3">
      <c r="A3" s="2" t="inlineStr">
        <is>
          <t>Allegro</t>
        </is>
      </c>
      <c r="B3" s="3" t="inlineStr">
        <is>
          <t>ESP32-WROOM-32 USB-C CH340 4 MB</t>
        </is>
      </c>
      <c r="C3" s="2" t="inlineStr"/>
      <c r="D3" s="2" t="n">
        <v>1</v>
      </c>
      <c r="E3" s="4" t="n"/>
      <c r="F3" s="4" t="n">
        <v>25</v>
      </c>
      <c r="G3" s="5" t="inlineStr">
        <is>
          <t>https://allegro.pl/oferta/mikrokontroler-esp-wroom-32-esp32-usb-c-ch340-wifi-bt-esp-32-4mb-do-arduino-12575360436</t>
        </is>
      </c>
      <c r="H3" s="2" t="inlineStr">
        <is>
          <t>paid</t>
        </is>
      </c>
    </row>
    <row r="4">
      <c r="A4" s="2" t="inlineStr">
        <is>
          <t>Allegro</t>
        </is>
      </c>
      <c r="B4" s="3" t="inlineStr">
        <is>
          <t>WS2812B 5 V, 30 LED/m, IP30, black PCB</t>
        </is>
      </c>
      <c r="C4" s="2" t="inlineStr"/>
      <c r="D4" s="2" t="n">
        <v>4</v>
      </c>
      <c r="E4" s="4" t="n"/>
      <c r="F4" s="4" t="n">
        <v>40</v>
      </c>
      <c r="G4" s="5" t="inlineStr">
        <is>
          <t>https://allegro.pl/oferta/1m-tasma-ws2812b-argb-5v-30-diod-m-ip30-smart-magic-led-czarne-pcb-18922593462</t>
        </is>
      </c>
      <c r="H4" s="2" t="inlineStr">
        <is>
          <t>paid, ~; 4 m = 120 LEDs, 72 used</t>
        </is>
      </c>
    </row>
    <row r="5">
      <c r="A5" s="2" t="inlineStr">
        <is>
          <t>Allegro</t>
        </is>
      </c>
      <c r="B5" s="3" t="inlineStr">
        <is>
          <t>JST SM 3-pin pair (plug + socket)</t>
        </is>
      </c>
      <c r="C5" s="2" t="inlineStr"/>
      <c r="D5" s="2" t="n">
        <v>1</v>
      </c>
      <c r="E5" s="4" t="n"/>
      <c r="F5" s="4" t="n">
        <v>3.5</v>
      </c>
      <c r="G5" s="5" t="inlineStr">
        <is>
          <t>https://allegro.pl/oferta/konektory-para-gniazdo-wtyk-jst-sm-3-pin-do-tasm-ws2812b-ws2811-rgb-17680312115</t>
        </is>
      </c>
      <c r="H5" s="2" t="inlineStr">
        <is>
          <t>paid</t>
        </is>
      </c>
    </row>
    <row r="6">
      <c r="A6" s="2" t="inlineStr">
        <is>
          <t>TME</t>
        </is>
      </c>
      <c r="B6" s="3" t="inlineStr">
        <is>
          <t>74HCT125 buffer DIP-14</t>
        </is>
      </c>
      <c r="C6" s="2" t="inlineStr">
        <is>
          <t>CD74HCT125E</t>
        </is>
      </c>
      <c r="D6" s="2" t="n">
        <v>2</v>
      </c>
      <c r="E6" s="4" t="n">
        <v>4.6777</v>
      </c>
      <c r="F6" s="4">
        <f>D6*E6</f>
        <v/>
      </c>
      <c r="G6" s="5" t="inlineStr">
        <is>
          <t>https://www.tme.eu/pl/katalog/?search=CD74HCT125E</t>
        </is>
      </c>
      <c r="H6" s="2" t="inlineStr">
        <is>
          <t>1 on board #1, 1 spare</t>
        </is>
      </c>
    </row>
    <row r="7">
      <c r="A7" s="2" t="inlineStr">
        <is>
          <t>TME</t>
        </is>
      </c>
      <c r="B7" s="3" t="inlineStr">
        <is>
          <t>DIP-14 socket</t>
        </is>
      </c>
      <c r="C7" s="2" t="inlineStr">
        <is>
          <t>1-2199298-3</t>
        </is>
      </c>
      <c r="D7" s="2" t="n">
        <v>1</v>
      </c>
      <c r="E7" s="4" t="n">
        <v>1.2731</v>
      </c>
      <c r="F7" s="4">
        <f>D7*E7</f>
        <v/>
      </c>
      <c r="G7" s="5" t="inlineStr">
        <is>
          <t>https://www.tme.eu/pl/katalog/?search=1-2199298-3</t>
        </is>
      </c>
      <c r="H7" s="2" t="inlineStr"/>
    </row>
    <row r="8">
      <c r="A8" s="2" t="inlineStr">
        <is>
          <t>TME</t>
        </is>
      </c>
      <c r="B8" s="3" t="inlineStr">
        <is>
          <t>Female header 1x40 (cut to 2x 1x15)</t>
        </is>
      </c>
      <c r="C8" s="2" t="inlineStr">
        <is>
          <t>ZL262-40SG</t>
        </is>
      </c>
      <c r="D8" s="2" t="n">
        <v>2</v>
      </c>
      <c r="E8" s="4" t="n">
        <v>2.23</v>
      </c>
      <c r="F8" s="4">
        <f>D8*E8</f>
        <v/>
      </c>
      <c r="G8" s="5" t="inlineStr">
        <is>
          <t>https://www.tme.eu/pl/katalog/?search=ZL262-40SG</t>
        </is>
      </c>
      <c r="H8" s="2" t="inlineStr"/>
    </row>
    <row r="9">
      <c r="A9" s="2" t="inlineStr">
        <is>
          <t>TME</t>
        </is>
      </c>
      <c r="B9" s="3" t="inlineStr">
        <is>
          <t>100 nF ceramic THT</t>
        </is>
      </c>
      <c r="C9" s="2" t="inlineStr">
        <is>
          <t>CC-104/100</t>
        </is>
      </c>
      <c r="D9" s="2" t="n">
        <v>100</v>
      </c>
      <c r="E9" s="4" t="n">
        <v>0.1705</v>
      </c>
      <c r="F9" s="4">
        <f>D9*E9</f>
        <v/>
      </c>
      <c r="G9" s="5" t="inlineStr">
        <is>
          <t>https://www.tme.eu/pl/katalog/?search=CC-104%2F100</t>
        </is>
      </c>
      <c r="H9" s="2" t="inlineStr">
        <is>
          <t>TME minimum 100</t>
        </is>
      </c>
    </row>
    <row r="10">
      <c r="A10" s="2" t="inlineStr">
        <is>
          <t>TME</t>
        </is>
      </c>
      <c r="B10" s="3" t="inlineStr">
        <is>
          <t>100 ohm 0.25 W</t>
        </is>
      </c>
      <c r="C10" s="2" t="inlineStr">
        <is>
          <t>CF1/4W-100R</t>
        </is>
      </c>
      <c r="D10" s="2" t="n">
        <v>100</v>
      </c>
      <c r="E10" s="4" t="n">
        <v>0.04011</v>
      </c>
      <c r="F10" s="4">
        <f>D10*E10</f>
        <v/>
      </c>
      <c r="G10" s="5" t="inlineStr">
        <is>
          <t>https://www.tme.eu/pl/katalog/?search=CF1%2F4W-100R</t>
        </is>
      </c>
      <c r="H10" s="2" t="inlineStr">
        <is>
          <t>TME minimum 100</t>
        </is>
      </c>
    </row>
    <row r="11">
      <c r="A11" s="2" t="inlineStr">
        <is>
          <t>TME</t>
        </is>
      </c>
      <c r="B11" s="3" t="inlineStr">
        <is>
          <t>Mini blade fuse holder</t>
        </is>
      </c>
      <c r="C11" s="2" t="inlineStr">
        <is>
          <t>KEYS3568</t>
        </is>
      </c>
      <c r="D11" s="2" t="n">
        <v>1</v>
      </c>
      <c r="E11" s="4" t="n">
        <v>4.7724</v>
      </c>
      <c r="F11" s="4">
        <f>D11*E11</f>
        <v/>
      </c>
      <c r="G11" s="5" t="inlineStr">
        <is>
          <t>https://www.tme.eu/pl/katalog/?search=KEYS3568</t>
        </is>
      </c>
      <c r="H11" s="2" t="inlineStr"/>
    </row>
    <row r="12">
      <c r="A12" s="2" t="inlineStr">
        <is>
          <t>TME</t>
        </is>
      </c>
      <c r="B12" s="3" t="inlineStr">
        <is>
          <t>Mini blade fuse 3 A</t>
        </is>
      </c>
      <c r="C12" s="2" t="inlineStr">
        <is>
          <t>0297003.WXNV</t>
        </is>
      </c>
      <c r="D12" s="2" t="n">
        <v>2</v>
      </c>
      <c r="E12" s="4" t="n">
        <v>1.7134</v>
      </c>
      <c r="F12" s="4">
        <f>D12*E12</f>
        <v/>
      </c>
      <c r="G12" s="5" t="inlineStr">
        <is>
          <t>https://www.tme.eu/pl/katalog/?search=0297003.WXNV</t>
        </is>
      </c>
      <c r="H12" s="2" t="inlineStr"/>
    </row>
    <row r="13">
      <c r="A13" s="2" t="inlineStr">
        <is>
          <t>TME</t>
        </is>
      </c>
      <c r="B13" s="3" t="inlineStr">
        <is>
          <t>DC jack 5.5/2.1 THT</t>
        </is>
      </c>
      <c r="C13" s="2" t="inlineStr">
        <is>
          <t>PC-GK2.1</t>
        </is>
      </c>
      <c r="D13" s="2" t="n">
        <v>3</v>
      </c>
      <c r="E13" s="4" t="n">
        <v>1.7478</v>
      </c>
      <c r="F13" s="4">
        <f>D13*E13</f>
        <v/>
      </c>
      <c r="G13" s="5" t="inlineStr">
        <is>
          <t>https://www.tme.eu/pl/katalog/?search=PC-GK2.1</t>
        </is>
      </c>
      <c r="H13" s="2" t="inlineStr">
        <is>
          <t>TME minimum 3</t>
        </is>
      </c>
    </row>
    <row r="14">
      <c r="A14" s="2" t="inlineStr">
        <is>
          <t>TME</t>
        </is>
      </c>
      <c r="B14" s="3" t="inlineStr">
        <is>
          <t>Screw terminal 5.08 mm 3-pole</t>
        </is>
      </c>
      <c r="C14" s="2" t="inlineStr">
        <is>
          <t>TB-5.08-P-3P/BL</t>
        </is>
      </c>
      <c r="D14" s="2" t="n">
        <v>2</v>
      </c>
      <c r="E14" s="4" t="n">
        <v>1.9729</v>
      </c>
      <c r="F14" s="4">
        <f>D14*E14</f>
        <v/>
      </c>
      <c r="G14" s="5" t="inlineStr">
        <is>
          <t>https://www.tme.eu/pl/katalog/?search=TB-5.08-P-3P%2FBL</t>
        </is>
      </c>
      <c r="H14" s="2" t="inlineStr"/>
    </row>
    <row r="15">
      <c r="A15" s="2" t="inlineStr">
        <is>
          <t>TME</t>
        </is>
      </c>
      <c r="B15" s="3" t="inlineStr">
        <is>
          <t>Screw terminal 5.08 mm 2-pole</t>
        </is>
      </c>
      <c r="C15" s="2" t="inlineStr">
        <is>
          <t>TB-5.08-P-2P/BL</t>
        </is>
      </c>
      <c r="D15" s="2" t="n">
        <v>5</v>
      </c>
      <c r="E15" s="4" t="n">
        <v>1.3186</v>
      </c>
      <c r="F15" s="4">
        <f>D15*E15</f>
        <v/>
      </c>
      <c r="G15" s="5" t="inlineStr">
        <is>
          <t>https://www.tme.eu/pl/katalog/?search=TB-5.08-P-2P%2FBL</t>
        </is>
      </c>
      <c r="H15" s="2" t="inlineStr">
        <is>
          <t>TME minimum 5</t>
        </is>
      </c>
    </row>
    <row r="16">
      <c r="A16" s="2" t="inlineStr">
        <is>
          <t>TME</t>
        </is>
      </c>
      <c r="B16" s="3" t="inlineStr">
        <is>
          <t>Male header 1x40</t>
        </is>
      </c>
      <c r="C16" s="2" t="inlineStr">
        <is>
          <t>ZL201-40G</t>
        </is>
      </c>
      <c r="D16" s="2" t="n">
        <v>10</v>
      </c>
      <c r="E16" s="4" t="n">
        <v>1.4231</v>
      </c>
      <c r="F16" s="4">
        <f>D16*E16</f>
        <v/>
      </c>
      <c r="G16" s="5" t="inlineStr">
        <is>
          <t>https://www.tme.eu/pl/katalog/?search=ZL201-40G</t>
        </is>
      </c>
      <c r="H16" s="2" t="inlineStr">
        <is>
          <t>TME minimum 10</t>
        </is>
      </c>
    </row>
    <row r="17">
      <c r="A17" s="2" t="inlineStr">
        <is>
          <t>own</t>
        </is>
      </c>
      <c r="B17" s="3" t="inlineStr">
        <is>
          <t>1000 uF 16 V electrolytic (owned)</t>
        </is>
      </c>
      <c r="C17" s="2" t="inlineStr">
        <is>
          <t>EEUFR1C102L</t>
        </is>
      </c>
      <c r="D17" s="2" t="n">
        <v>2</v>
      </c>
      <c r="E17" s="4" t="n">
        <v>0</v>
      </c>
      <c r="F17" s="4">
        <f>D17*E17</f>
        <v/>
      </c>
      <c r="G17" s="5" t="inlineStr">
        <is>
          <t>https://www.tme.eu/pl/katalog/?search=EEUFR1C102L</t>
        </is>
      </c>
      <c r="H17" s="2" t="inlineStr">
        <is>
          <t>already owned; 3.95 each at TME</t>
        </is>
      </c>
    </row>
    <row r="18">
      <c r="A18" s="2" t="inlineStr">
        <is>
          <t>TME</t>
        </is>
      </c>
      <c r="B18" s="3" t="inlineStr">
        <is>
          <t>Shipping</t>
        </is>
      </c>
      <c r="C18" s="2" t="inlineStr"/>
      <c r="D18" s="2" t="n">
        <v>1</v>
      </c>
      <c r="E18" s="4" t="n"/>
      <c r="F18" s="4" t="n"/>
      <c r="G18" s="2" t="inlineStr"/>
      <c r="H18" s="2" t="inlineStr">
        <is>
          <t>FILL IN from the invoice</t>
        </is>
      </c>
    </row>
    <row r="19">
      <c r="A19" s="2" t="inlineStr">
        <is>
          <t>Allegro</t>
        </is>
      </c>
      <c r="B19" s="3" t="inlineStr">
        <is>
          <t>Shipping</t>
        </is>
      </c>
      <c r="C19" s="2" t="inlineStr"/>
      <c r="D19" s="2" t="n">
        <v>1</v>
      </c>
      <c r="E19" s="4" t="n"/>
      <c r="F19" s="4" t="n"/>
      <c r="G19" s="2" t="inlineStr"/>
      <c r="H19" s="2" t="inlineStr">
        <is>
          <t>FILL IN</t>
        </is>
      </c>
    </row>
    <row r="21">
      <c r="A21" t="inlineStr"/>
      <c r="B21" s="6" t="inlineStr">
        <is>
          <t>TOTAL (fills in when shipping is entered)</t>
        </is>
      </c>
      <c r="C21" t="inlineStr"/>
      <c r="D21" t="inlineStr"/>
      <c r="E21" t="inlineStr"/>
      <c r="F21" s="7">
        <f>SUM(F2:F19)</f>
        <v/>
      </c>
    </row>
    <row r="22">
      <c r="A22" t="inlineStr"/>
      <c r="B22" t="inlineStr">
        <is>
          <t>TME subtotal</t>
        </is>
      </c>
      <c r="C22" t="inlineStr"/>
      <c r="D22" t="inlineStr"/>
      <c r="E22" t="inlineStr"/>
      <c r="F22" s="8">
        <f>SUMIF(A2:A19,"TME",F2:F19)</f>
        <v/>
      </c>
    </row>
    <row r="24">
      <c r="A24" t="inlineStr"/>
      <c r="B24" t="inlineStr">
        <is>
          <t>TME prices: catalogue on 2026-10-19 via API, not the invoice. Allegro/JLC: what Panto paid.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6" customWidth="1" min="4" max="4"/>
    <col width="11" customWidth="1" min="5" max="5"/>
    <col width="6" customWidth="1" min="6" max="6"/>
    <col width="10" customWidth="1" min="7" max="7"/>
    <col width="10" customWidth="1" min="8" max="8"/>
    <col width="60" customWidth="1" min="9" max="9"/>
    <col width="44" customWidth="1" min="10" max="10"/>
  </cols>
  <sheetData>
    <row r="1">
      <c r="A1" s="1" t="inlineStr">
        <is>
          <t>Ref</t>
        </is>
      </c>
      <c r="B1" s="1" t="inlineStr">
        <is>
          <t>Item</t>
        </is>
      </c>
      <c r="C1" s="1" t="inlineStr">
        <is>
          <t>Symbol</t>
        </is>
      </c>
      <c r="D1" s="1" t="inlineStr">
        <is>
          <t>Need</t>
        </is>
      </c>
      <c r="E1" s="1" t="inlineStr">
        <is>
          <t>In inventory</t>
        </is>
      </c>
      <c r="F1" s="1" t="inlineStr">
        <is>
          <t>Buy</t>
        </is>
      </c>
      <c r="G1" s="1" t="inlineStr">
        <is>
          <t>Unit PLN</t>
        </is>
      </c>
      <c r="H1" s="1" t="inlineStr">
        <is>
          <t>Line PLN</t>
        </is>
      </c>
      <c r="I1" s="1" t="inlineStr">
        <is>
          <t>Link</t>
        </is>
      </c>
      <c r="J1" s="1" t="inlineStr">
        <is>
          <t>Note</t>
        </is>
      </c>
    </row>
    <row r="2">
      <c r="A2" s="2" t="inlineStr">
        <is>
          <t>PCB</t>
        </is>
      </c>
      <c r="B2" s="3" t="inlineStr">
        <is>
          <t>PCB rev 2.0 phi 100x61.8, 5 pcs, shipping included</t>
        </is>
      </c>
      <c r="C2" s="2" t="inlineStr"/>
      <c r="D2" s="2" t="n">
        <v>1</v>
      </c>
      <c r="E2" s="2" t="n">
        <v>0</v>
      </c>
      <c r="F2" s="2" t="n">
        <v>1</v>
      </c>
      <c r="G2" s="4" t="n">
        <v>30</v>
      </c>
      <c r="H2" s="4">
        <f>F2*G2</f>
        <v/>
      </c>
      <c r="I2" s="9" t="inlineStr">
        <is>
          <t>https://jlcpcb.com/</t>
        </is>
      </c>
      <c r="J2" s="2" t="inlineStr">
        <is>
          <t>estimate = what rev 1.0 cost; upload v2 gerbers</t>
        </is>
      </c>
    </row>
    <row r="3">
      <c r="A3" s="2" t="inlineStr">
        <is>
          <t>U2/U3 module</t>
        </is>
      </c>
      <c r="B3" s="3" t="inlineStr">
        <is>
          <t>ESP32-WROOM-32 USB-C CH340 30-pin</t>
        </is>
      </c>
      <c r="C3" s="2" t="inlineStr"/>
      <c r="D3" s="2" t="n">
        <v>1</v>
      </c>
      <c r="E3" s="2" t="n">
        <v>0</v>
      </c>
      <c r="F3" s="2" t="n">
        <v>1</v>
      </c>
      <c r="G3" s="4" t="n">
        <v>25</v>
      </c>
      <c r="H3" s="4">
        <f>F3*G3</f>
        <v/>
      </c>
      <c r="I3" s="9" t="inlineStr">
        <is>
          <t>https://allegro.pl/oferta/mikrokontroler-esp-wroom-32-esp32-usb-c-ch340-wifi-bt-esp-32-4mb-do-arduino-12575360436</t>
        </is>
      </c>
      <c r="J3" s="2" t="inlineStr">
        <is>
          <t>inventory has no spare ESP32</t>
        </is>
      </c>
    </row>
    <row r="4">
      <c r="A4" s="2" t="inlineStr">
        <is>
          <t>U1</t>
        </is>
      </c>
      <c r="B4" s="3" t="inlineStr">
        <is>
          <t>74HCT245 DIP-20 (HCT, not HC)</t>
        </is>
      </c>
      <c r="C4" s="2" t="inlineStr">
        <is>
          <t>SN74HCT245N</t>
        </is>
      </c>
      <c r="D4" s="2" t="n">
        <v>1</v>
      </c>
      <c r="E4" s="2" t="n">
        <v>0</v>
      </c>
      <c r="F4" s="2" t="n">
        <v>1</v>
      </c>
      <c r="G4" s="4" t="n">
        <v>2.7011</v>
      </c>
      <c r="H4" s="4">
        <f>F4*G4</f>
        <v/>
      </c>
      <c r="I4" s="9" t="inlineStr">
        <is>
          <t>https://www.tme.eu/pl/katalog/?search=SN74HCT245N</t>
        </is>
      </c>
      <c r="J4" s="2" t="inlineStr"/>
    </row>
    <row r="5">
      <c r="A5" s="2" t="inlineStr"/>
      <c r="B5" s="3" t="inlineStr">
        <is>
          <t>DIP-20 socket</t>
        </is>
      </c>
      <c r="C5" s="2" t="inlineStr">
        <is>
          <t>1-2199298-6</t>
        </is>
      </c>
      <c r="D5" s="2" t="n">
        <v>1</v>
      </c>
      <c r="E5" s="2" t="n">
        <v>0</v>
      </c>
      <c r="F5" s="2" t="n">
        <v>1</v>
      </c>
      <c r="G5" s="4" t="n">
        <v>2.2878</v>
      </c>
      <c r="H5" s="4">
        <f>F5*G5</f>
        <v/>
      </c>
      <c r="I5" s="9" t="inlineStr">
        <is>
          <t>https://www.tme.eu/pl/katalog/?search=1-2199298-6</t>
        </is>
      </c>
      <c r="J5" s="2" t="inlineStr"/>
    </row>
    <row r="6">
      <c r="A6" s="2" t="inlineStr">
        <is>
          <t>F1</t>
        </is>
      </c>
      <c r="B6" s="3" t="inlineStr">
        <is>
          <t>Mini blade fuse holder</t>
        </is>
      </c>
      <c r="C6" s="2" t="inlineStr">
        <is>
          <t>KEYS3568</t>
        </is>
      </c>
      <c r="D6" s="2" t="n">
        <v>1</v>
      </c>
      <c r="E6" s="2" t="n">
        <v>0</v>
      </c>
      <c r="F6" s="2" t="n">
        <v>1</v>
      </c>
      <c r="G6" s="4" t="n">
        <v>4.7724</v>
      </c>
      <c r="H6" s="4">
        <f>F6*G6</f>
        <v/>
      </c>
      <c r="I6" s="9" t="inlineStr">
        <is>
          <t>https://www.tme.eu/pl/katalog/?search=KEYS3568</t>
        </is>
      </c>
      <c r="J6" s="2" t="inlineStr">
        <is>
          <t>rev 1.0 one is soldered on board #1</t>
        </is>
      </c>
    </row>
    <row r="7">
      <c r="A7" s="2" t="inlineStr">
        <is>
          <t>F1</t>
        </is>
      </c>
      <c r="B7" s="3" t="inlineStr">
        <is>
          <t>Mini blade fuse 7.5 A max</t>
        </is>
      </c>
      <c r="C7" s="2" t="inlineStr">
        <is>
          <t>029707.5WXNV</t>
        </is>
      </c>
      <c r="D7" s="2" t="n">
        <v>1</v>
      </c>
      <c r="E7" s="2" t="n">
        <v>1</v>
      </c>
      <c r="F7" s="2" t="n">
        <v>2</v>
      </c>
      <c r="G7" s="4" t="n">
        <v>1.7072</v>
      </c>
      <c r="H7" s="4">
        <f>F7*G7</f>
        <v/>
      </c>
      <c r="I7" s="9" t="inlineStr">
        <is>
          <t>https://www.tme.eu/pl/katalog/?search=029707.5WXNV</t>
        </is>
      </c>
      <c r="J7" s="2" t="inlineStr">
        <is>
          <t>spare 3 A from inventory works for a small load</t>
        </is>
      </c>
    </row>
    <row r="8">
      <c r="A8" s="2" t="inlineStr">
        <is>
          <t>F11-F16</t>
        </is>
      </c>
      <c r="B8" s="3" t="inlineStr">
        <is>
          <t>Polyfuse 3 A hold, 16 V</t>
        </is>
      </c>
      <c r="C8" s="2" t="inlineStr">
        <is>
          <t>RG300-16</t>
        </is>
      </c>
      <c r="D8" s="2" t="n">
        <v>6</v>
      </c>
      <c r="E8" s="2" t="n">
        <v>0</v>
      </c>
      <c r="F8" s="2" t="n">
        <v>6</v>
      </c>
      <c r="G8" s="4" t="n">
        <v>1.3616</v>
      </c>
      <c r="H8" s="4">
        <f>F8*G8</f>
        <v/>
      </c>
      <c r="I8" s="9" t="inlineStr">
        <is>
          <t>https://www.tme.eu/pl/katalog/?search=RG300-16</t>
        </is>
      </c>
      <c r="J8" s="2" t="inlineStr"/>
    </row>
    <row r="9">
      <c r="A9" s="2" t="inlineStr">
        <is>
          <t>J11-J16</t>
        </is>
      </c>
      <c r="B9" s="3" t="inlineStr">
        <is>
          <t>Screw terminal 3.5 mm 3-pole</t>
        </is>
      </c>
      <c r="C9" s="2" t="inlineStr">
        <is>
          <t>XY302R-3P-3.5-GN</t>
        </is>
      </c>
      <c r="D9" s="2" t="n">
        <v>6</v>
      </c>
      <c r="E9" s="2" t="n">
        <v>0</v>
      </c>
      <c r="F9" s="2" t="n">
        <v>6</v>
      </c>
      <c r="G9" s="4" t="n">
        <v>1.289</v>
      </c>
      <c r="H9" s="4">
        <f>F9*G9</f>
        <v/>
      </c>
      <c r="I9" s="9" t="inlineStr">
        <is>
          <t>https://www.tme.eu/pl/katalog/?search=XY302R-3P-3.5-GN</t>
        </is>
      </c>
      <c r="J9" s="2" t="inlineStr">
        <is>
          <t>check holes vs Phoenix footprint</t>
        </is>
      </c>
    </row>
    <row r="10">
      <c r="A10" s="2" t="inlineStr">
        <is>
          <t>J21-J26</t>
        </is>
      </c>
      <c r="B10" s="3" t="inlineStr">
        <is>
          <t>JST XH 3-pin socket</t>
        </is>
      </c>
      <c r="C10" s="2" t="inlineStr">
        <is>
          <t>B3B-XH-A</t>
        </is>
      </c>
      <c r="D10" s="2" t="n">
        <v>6</v>
      </c>
      <c r="E10" s="2" t="n">
        <v>0</v>
      </c>
      <c r="F10" s="2" t="n">
        <v>6</v>
      </c>
      <c r="G10" s="4" t="n">
        <v>0.4952</v>
      </c>
      <c r="H10" s="4">
        <f>F10*G10</f>
        <v/>
      </c>
      <c r="I10" s="9" t="inlineStr">
        <is>
          <t>https://www.tme.eu/pl/katalog/?search=B3B-XH-A</t>
        </is>
      </c>
      <c r="J10" s="2" t="inlineStr"/>
    </row>
    <row r="11">
      <c r="A11" s="2" t="inlineStr">
        <is>
          <t>R1-R6</t>
        </is>
      </c>
      <c r="B11" s="3" t="inlineStr">
        <is>
          <t>100 ohm 0.25 W</t>
        </is>
      </c>
      <c r="C11" s="2" t="inlineStr">
        <is>
          <t>CF1/4W-100R</t>
        </is>
      </c>
      <c r="D11" s="2" t="n">
        <v>6</v>
      </c>
      <c r="E11" s="2" t="n">
        <v>96</v>
      </c>
      <c r="F11" s="2" t="n">
        <v>0</v>
      </c>
      <c r="G11" s="4" t="n">
        <v>0.04011</v>
      </c>
      <c r="H11" s="4">
        <f>F11*G11</f>
        <v/>
      </c>
      <c r="I11" s="9" t="inlineStr">
        <is>
          <t>https://www.tme.eu/pl/katalog/?search=CF1%2F4W-100R</t>
        </is>
      </c>
      <c r="J11" s="2" t="inlineStr">
        <is>
          <t>from inventory</t>
        </is>
      </c>
    </row>
    <row r="12">
      <c r="A12" s="2" t="inlineStr">
        <is>
          <t>C1, C2</t>
        </is>
      </c>
      <c r="B12" s="3" t="inlineStr">
        <is>
          <t>1000 uF 16 V, D8 P5</t>
        </is>
      </c>
      <c r="C12" s="2" t="inlineStr">
        <is>
          <t>EEUFR1C102L</t>
        </is>
      </c>
      <c r="D12" s="2" t="n">
        <v>2</v>
      </c>
      <c r="E12" s="2" t="n">
        <v>2</v>
      </c>
      <c r="F12" s="2" t="n">
        <v>0</v>
      </c>
      <c r="G12" s="4" t="n">
        <v>3.9471</v>
      </c>
      <c r="H12" s="4">
        <f>F12*G12</f>
        <v/>
      </c>
      <c r="I12" s="9" t="inlineStr">
        <is>
          <t>https://www.tme.eu/pl/katalog/?search=EEUFR1C102L</t>
        </is>
      </c>
      <c r="J12" s="2" t="inlineStr">
        <is>
          <t>from inventory</t>
        </is>
      </c>
    </row>
    <row r="13">
      <c r="A13" s="2" t="inlineStr">
        <is>
          <t>C3</t>
        </is>
      </c>
      <c r="B13" s="3" t="inlineStr">
        <is>
          <t>100 nF ceramic</t>
        </is>
      </c>
      <c r="C13" s="2" t="inlineStr">
        <is>
          <t>CC-104/100</t>
        </is>
      </c>
      <c r="D13" s="2" t="n">
        <v>1</v>
      </c>
      <c r="E13" s="2" t="n">
        <v>99</v>
      </c>
      <c r="F13" s="2" t="n">
        <v>0</v>
      </c>
      <c r="G13" s="4" t="n">
        <v>0.1705</v>
      </c>
      <c r="H13" s="4">
        <f>F13*G13</f>
        <v/>
      </c>
      <c r="I13" s="9" t="inlineStr">
        <is>
          <t>https://www.tme.eu/pl/katalog/?search=CC-104%2F100</t>
        </is>
      </c>
      <c r="J13" s="2" t="inlineStr">
        <is>
          <t>from inventory</t>
        </is>
      </c>
    </row>
    <row r="14">
      <c r="A14" s="2" t="inlineStr">
        <is>
          <t>J1</t>
        </is>
      </c>
      <c r="B14" s="3" t="inlineStr">
        <is>
          <t>DC jack 5.5/2.1</t>
        </is>
      </c>
      <c r="C14" s="2" t="inlineStr">
        <is>
          <t>PC-GK2.1</t>
        </is>
      </c>
      <c r="D14" s="2" t="n">
        <v>1</v>
      </c>
      <c r="E14" s="2" t="n">
        <v>2</v>
      </c>
      <c r="F14" s="2" t="n">
        <v>0</v>
      </c>
      <c r="G14" s="4" t="n">
        <v>1.7478</v>
      </c>
      <c r="H14" s="4">
        <f>F14*G14</f>
        <v/>
      </c>
      <c r="I14" s="9" t="inlineStr">
        <is>
          <t>https://www.tme.eu/pl/katalog/?search=PC-GK2.1</t>
        </is>
      </c>
      <c r="J14" s="2" t="inlineStr">
        <is>
          <t>from inventory</t>
        </is>
      </c>
    </row>
    <row r="15">
      <c r="A15" s="2" t="inlineStr">
        <is>
          <t>J2</t>
        </is>
      </c>
      <c r="B15" s="3" t="inlineStr">
        <is>
          <t>Screw terminal 5.08 mm 2-pole</t>
        </is>
      </c>
      <c r="C15" s="2" t="inlineStr">
        <is>
          <t>TB-5.08-P-2P/BL</t>
        </is>
      </c>
      <c r="D15" s="2" t="n">
        <v>1</v>
      </c>
      <c r="E15" s="2" t="n">
        <v>3</v>
      </c>
      <c r="F15" s="2" t="n">
        <v>0</v>
      </c>
      <c r="G15" s="4" t="n">
        <v>1.3186</v>
      </c>
      <c r="H15" s="4">
        <f>F15*G15</f>
        <v/>
      </c>
      <c r="I15" s="9" t="inlineStr">
        <is>
          <t>https://www.tme.eu/pl/katalog/?search=TB-5.08-P-2P%2FBL</t>
        </is>
      </c>
      <c r="J15" s="2" t="inlineStr">
        <is>
          <t>from inventory</t>
        </is>
      </c>
    </row>
    <row r="16">
      <c r="A16" s="2" t="inlineStr">
        <is>
          <t>U2, U3</t>
        </is>
      </c>
      <c r="B16" s="3" t="inlineStr">
        <is>
          <t>Female header 1x40 (cut to 2x 1x15)</t>
        </is>
      </c>
      <c r="C16" s="2" t="inlineStr">
        <is>
          <t>ZL262-40SG</t>
        </is>
      </c>
      <c r="D16" s="2" t="n">
        <v>2</v>
      </c>
      <c r="E16" s="2" t="n">
        <v>0</v>
      </c>
      <c r="F16" s="2" t="n">
        <v>2</v>
      </c>
      <c r="G16" s="4" t="n">
        <v>2.23</v>
      </c>
      <c r="H16" s="4">
        <f>F16*G16</f>
        <v/>
      </c>
      <c r="I16" s="9" t="inlineStr">
        <is>
          <t>https://www.tme.eu/pl/katalog/?search=ZL262-40SG</t>
        </is>
      </c>
      <c r="J16" s="2" t="inlineStr">
        <is>
          <t>rev 1.0 spare not in inventory: CHECK drawer, then set buy to 0</t>
        </is>
      </c>
    </row>
    <row r="17">
      <c r="A17" s="2" t="inlineStr">
        <is>
          <t>strips</t>
        </is>
      </c>
      <c r="B17" s="3" t="inlineStr">
        <is>
          <t>JST SM to XH lead, or wire straight into the terminal</t>
        </is>
      </c>
      <c r="C17" s="2" t="inlineStr"/>
      <c r="D17" s="2" t="n">
        <v>6</v>
      </c>
      <c r="E17" s="2" t="n">
        <v>0</v>
      </c>
      <c r="F17" s="2" t="n">
        <v>0</v>
      </c>
      <c r="G17" s="4" t="n"/>
      <c r="H17" s="4" t="n"/>
      <c r="I17" s="3" t="inlineStr"/>
      <c r="J17" s="2" t="inlineStr">
        <is>
          <t>not at TME; optional</t>
        </is>
      </c>
    </row>
    <row r="18">
      <c r="A18" s="2" t="inlineStr"/>
      <c r="B18" s="3" t="inlineStr">
        <is>
          <t>TME shipping</t>
        </is>
      </c>
      <c r="C18" s="2" t="inlineStr"/>
      <c r="D18" s="2" t="n">
        <v>1</v>
      </c>
      <c r="E18" s="2" t="n">
        <v>0</v>
      </c>
      <c r="F18" s="2" t="n">
        <v>1</v>
      </c>
      <c r="G18" s="4" t="n"/>
      <c r="H18" s="4" t="n"/>
      <c r="I18" s="3" t="inlineStr"/>
      <c r="J18" s="2" t="inlineStr">
        <is>
          <t>FILL IN</t>
        </is>
      </c>
    </row>
    <row r="20">
      <c r="A20" t="inlineStr"/>
      <c r="B20" s="6" t="inlineStr">
        <is>
          <t>TO BUY (PCB + ESP32 + TME parts)</t>
        </is>
      </c>
      <c r="C20" t="inlineStr"/>
      <c r="D20" t="inlineStr"/>
      <c r="E20" t="inlineStr"/>
      <c r="F20" t="inlineStr"/>
      <c r="G20" t="inlineStr"/>
      <c r="H20" s="7">
        <f>SUM(H2:H18)</f>
        <v/>
      </c>
    </row>
    <row r="21">
      <c r="A21" t="inlineStr"/>
      <c r="B21" t="inlineStr">
        <is>
          <t>Value taken from inventory</t>
        </is>
      </c>
      <c r="C21" t="inlineStr"/>
      <c r="D21" t="inlineStr"/>
      <c r="E21" t="inlineStr"/>
      <c r="F21" t="inlineStr"/>
      <c r="G21" t="inlineStr"/>
      <c r="H21" s="8">
        <f>SUMPRODUCT((F2:F18=0)*D2:D18*G2:G18)</f>
        <v/>
      </c>
    </row>
    <row r="23">
      <c r="A23" t="inlineStr"/>
      <c r="B23" t="inlineStr">
        <is>
          <t>In inventory = quantity in parts-inventory/inventory.xlsx on 2026-10-19. Strip not included (48 LEDs left over).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Item (inventory.xlsx)</t>
        </is>
      </c>
      <c r="B1" s="1" t="inlineStr">
        <is>
          <t>Qty</t>
        </is>
      </c>
    </row>
    <row r="2">
      <c r="A2" s="2" t="inlineStr">
        <is>
          <t>WLED controller PCB v1, bare</t>
        </is>
      </c>
      <c r="B2" s="3" t="n">
        <v>4</v>
      </c>
    </row>
    <row r="3">
      <c r="A3" s="2" t="inlineStr">
        <is>
          <t>WS2812B strip, leftover</t>
        </is>
      </c>
      <c r="B3" s="3" t="n">
        <v>48</v>
      </c>
    </row>
    <row r="4">
      <c r="A4" s="2" t="inlineStr">
        <is>
          <t>100 ohm</t>
        </is>
      </c>
      <c r="B4" s="3" t="n">
        <v>96</v>
      </c>
    </row>
    <row r="5">
      <c r="A5" s="2" t="inlineStr">
        <is>
          <t>Ceramic 100 nF (104)</t>
        </is>
      </c>
      <c r="B5" s="3" t="n">
        <v>99</v>
      </c>
    </row>
    <row r="6">
      <c r="A6" s="2" t="inlineStr">
        <is>
          <t>Electrolytic 1000 uF 16 V</t>
        </is>
      </c>
      <c r="B6" s="3" t="n">
        <v>2</v>
      </c>
    </row>
    <row r="7">
      <c r="A7" s="2" t="inlineStr">
        <is>
          <t>DC barrel jack</t>
        </is>
      </c>
      <c r="B7" s="3" t="n">
        <v>2</v>
      </c>
    </row>
    <row r="8">
      <c r="A8" s="2" t="inlineStr">
        <is>
          <t>Screw terminal, 2 poles</t>
        </is>
      </c>
      <c r="B8" s="3" t="n">
        <v>3</v>
      </c>
    </row>
    <row r="9">
      <c r="A9" s="2" t="inlineStr">
        <is>
          <t>Mini blade fuse 3 A</t>
        </is>
      </c>
      <c r="B9" s="3" t="n">
        <v>1</v>
      </c>
    </row>
    <row r="10">
      <c r="A10" s="2" t="inlineStr">
        <is>
          <t>CD74HCT125E</t>
        </is>
      </c>
      <c r="B10" s="3" t="n"/>
    </row>
    <row r="11">
      <c r="A11" s="2" t="inlineStr">
        <is>
          <t>DIP-14 socket</t>
        </is>
      </c>
      <c r="B11" s="3" t="n"/>
    </row>
    <row r="12">
      <c r="A12" s="2" t="inlineStr">
        <is>
          <t>Male pin header 1x16</t>
        </is>
      </c>
      <c r="B12" s="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What</t>
        </is>
      </c>
      <c r="B1" s="1" t="inlineStr">
        <is>
          <t>Where</t>
        </is>
      </c>
    </row>
    <row r="2">
      <c r="A2" s="2" t="inlineStr">
        <is>
          <t>v1 gerbers</t>
        </is>
      </c>
      <c r="B2" s="3" t="inlineStr">
        <is>
          <t>E:\Pliki\Projects\wled-controller\wled-controller-gerbers.zip</t>
        </is>
      </c>
    </row>
    <row r="3">
      <c r="A3" s="2" t="inlineStr">
        <is>
          <t>v2 phi gerbers</t>
        </is>
      </c>
      <c r="B3" s="3" t="inlineStr">
        <is>
          <t>E:\Pliki\Projects\wled-controller\v2\wled-controller-v2-phi-gerbers.zip</t>
        </is>
      </c>
    </row>
    <row r="4">
      <c r="A4" s="2" t="inlineStr">
        <is>
          <t>v1 TME quickbuy</t>
        </is>
      </c>
      <c r="B4" s="3" t="inlineStr">
        <is>
          <t>E:\Pliki\Projects\wled-controller\quickbuy-v1.txt</t>
        </is>
      </c>
    </row>
    <row r="5">
      <c r="A5" s="2" t="inlineStr">
        <is>
          <t>v2 TME quickbuy</t>
        </is>
      </c>
      <c r="B5" s="3" t="inlineStr">
        <is>
          <t>E:\Pliki\Projects\wled-controller\v2\quickbuy-v2-phi.txt</t>
        </is>
      </c>
    </row>
    <row r="6">
      <c r="A6" s="2" t="inlineStr">
        <is>
          <t>JLCPCB order page</t>
        </is>
      </c>
      <c r="B6" s="9" t="inlineStr">
        <is>
          <t>https://jlcpcb.com/</t>
        </is>
      </c>
    </row>
    <row r="7">
      <c r="A7" s="2" t="inlineStr">
        <is>
          <t>TME quick buy</t>
        </is>
      </c>
      <c r="B7" s="9" t="inlineStr">
        <is>
          <t>https://www.tme.eu/pl/ (koszyk -&gt; szybkie zakupy / import listy)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2026-10-19T14:02:53Z</dcterms:created>
  <dcterms:modified xmlns:dcterms="http://purl.org/dc/terms/" xmlns:xsi="http://www.w3.org/2001/XMLSchema-instance" xsi:type="dcterms:W3CDTF">2026-10-19T14:02:53Z</dcterms:modified>
</cp:coreProperties>
</file>